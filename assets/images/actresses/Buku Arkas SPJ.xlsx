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Buku Arkas SPJ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<sst xmlns="http://schemas.openxmlformats.org/spreadsheetml/2006/main" count="83" uniqueCount="42">
  <si>
    <t>SURAT PESANAN BUKU KURIKULUM MERDEKA</t>
  </si>
  <si>
    <t>Kepada Yth,</t>
  </si>
  <si>
    <t>CV. AZZAHRA Distributor PT Gramedia</t>
  </si>
  <si>
    <t>Jl. Bababakn No. 31 (Pasar Mambo) Majalengka. Tlp. 08122219738</t>
  </si>
  <si>
    <t>yang bertanda tangan di bawah ini saya :</t>
  </si>
  <si>
    <t>Nama</t>
  </si>
  <si>
    <t>: H. EMAN SUPRATMAN, S.Pd., M.Pd.</t>
  </si>
  <si>
    <t>Jabatan</t>
  </si>
  <si>
    <t>: Kepala Sekolah</t>
  </si>
  <si>
    <t>Nama Sekolah</t>
  </si>
  <si>
    <t>: SMPN 2 LIGUNG</t>
  </si>
  <si>
    <t>Alamat</t>
  </si>
  <si>
    <t>: Jl. Leuwiliang - Buntu</t>
  </si>
  <si>
    <t>No. HP</t>
  </si>
  <si>
    <t>: 085224729964</t>
  </si>
  <si>
    <t xml:space="preserve">Dengan ini memesan buku pelajaran SMP kurikulum merdeka dengan  rincian : </t>
  </si>
  <si>
    <t>No.</t>
  </si>
  <si>
    <t>Jenis Buku</t>
  </si>
  <si>
    <t>Judul Buku</t>
  </si>
  <si>
    <t>Kelas</t>
  </si>
  <si>
    <t>Harga</t>
  </si>
  <si>
    <t>Jumalah Pesanan</t>
  </si>
  <si>
    <t>Jumlah</t>
  </si>
  <si>
    <t>Buku Siswa</t>
  </si>
  <si>
    <t>Pendidikan Agama Islam dan Budi Pekerti</t>
  </si>
  <si>
    <t>Bahasa Indonesia</t>
  </si>
  <si>
    <t>Ilmu Pengetahuan Alam</t>
  </si>
  <si>
    <t>Ilmu Pengetahuan Sosial</t>
  </si>
  <si>
    <t>Informatika</t>
  </si>
  <si>
    <t>Matematika</t>
  </si>
  <si>
    <t>English for Nusantara SMP/ MTs Kelas VIII</t>
  </si>
  <si>
    <t>Gapura Basa Kurikulum Merdeka</t>
  </si>
  <si>
    <t>Pendidikan Pancasil Untuk SMP/ MTS Kelas VIII</t>
  </si>
  <si>
    <t>Pendidikan Jasmani Olah Raga Dan Kesehatan</t>
  </si>
  <si>
    <t>JUMLAH</t>
  </si>
  <si>
    <t>Penerima Pesanan</t>
  </si>
  <si>
    <t>Yang Memesan</t>
  </si>
  <si>
    <t>SMP NEGERI 2 LIGUNG</t>
  </si>
  <si>
    <t>( ….................................... )</t>
  </si>
  <si>
    <t>H. EMAN SUPRATMAN, S.Pd., M.Pd.</t>
  </si>
  <si>
    <t xml:space="preserve">No Tlp/ WA. </t>
  </si>
  <si>
    <t>NIP : 196804181992031005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</si>
</sst>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Arial"/>
      <charset val="134"/>
    </font>
    <font>
      <sz val="10"/>
      <color theme="1"/>
      <name val="Times New Roman"/>
      <charset val="134"/>
    </font>
    <font>
      <b/>
      <u/>
      <sz val="12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4" applyNumberFormat="0" applyAlignment="0" applyProtection="0">
      <alignment vertical="center"/>
    </xf>
    <xf numFmtId="0" fontId="18" fillId="4" borderId="15" applyNumberFormat="0" applyAlignment="0" applyProtection="0">
      <alignment vertical="center"/>
    </xf>
    <xf numFmtId="0" fontId="19" fillId="4" borderId="14" applyNumberFormat="0" applyAlignment="0" applyProtection="0">
      <alignment vertical="center"/>
    </xf>
    <xf numFmtId="0" fontId="20" fillId="5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 wrapText="1"/>
    </xf>
    <xf numFmtId="0" fontId="0" fillId="0" borderId="0" xfId="0" applyFill="1" applyAlignment="1">
      <alignment horizontal="left"/>
    </xf>
    <xf numFmtId="0" fontId="0" fillId="0" borderId="0" xfId="0" applyFill="1" applyAlignment="1"/>
    <xf numFmtId="0" fontId="0" fillId="0" borderId="0" xfId="0" applyFill="1" applyAlignment="1">
      <alignment vertical="top"/>
    </xf>
    <xf numFmtId="0" fontId="0" fillId="0" borderId="0" xfId="0" applyFill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/>
    </xf>
    <xf numFmtId="0" fontId="0" fillId="0" borderId="2" xfId="0" applyFill="1" applyBorder="1" applyAlignment="1"/>
    <xf numFmtId="0" fontId="0" fillId="0" borderId="2" xfId="0" applyFill="1" applyBorder="1" applyAlignment="1">
      <alignment horizontal="center"/>
    </xf>
    <xf numFmtId="0" fontId="1" fillId="0" borderId="2" xfId="0" applyFont="1" applyFill="1" applyBorder="1" applyAlignment="1">
      <alignment horizontal="left" vertical="center"/>
    </xf>
    <xf numFmtId="0" fontId="1" fillId="0" borderId="2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5" fillId="0" borderId="6" xfId="0" applyFont="1" applyFill="1" applyBorder="1" applyAlignment="1">
      <alignment wrapText="1"/>
    </xf>
    <xf numFmtId="0" fontId="6" fillId="0" borderId="7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6" fillId="0" borderId="9" xfId="0" applyFont="1" applyFill="1" applyBorder="1" applyAlignment="1">
      <alignment vertical="center"/>
    </xf>
    <xf numFmtId="0" fontId="5" fillId="0" borderId="10" xfId="0" applyFont="1" applyFill="1" applyBorder="1" applyAlignment="1">
      <alignment wrapText="1"/>
    </xf>
    <xf numFmtId="0" fontId="7" fillId="0" borderId="6" xfId="0" applyFont="1" applyFill="1" applyBorder="1" applyAlignment="1">
      <alignment vertical="center"/>
    </xf>
    <xf numFmtId="0" fontId="4" fillId="0" borderId="7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vertical="center"/>
    </xf>
    <xf numFmtId="0" fontId="8" fillId="0" borderId="7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9" xfId="0" applyFont="1" applyFill="1" applyBorder="1" applyAlignment="1">
      <alignment horizontal="left" vertical="center" wrapText="1"/>
    </xf>
    <xf numFmtId="0" fontId="1" fillId="0" borderId="0" xfId="0" applyFont="1" applyFill="1" applyAlignment="1"/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tabSelected="1" topLeftCell="A33" workbookViewId="0">
      <selection activeCell="I41" sqref="I41"/>
    </sheetView>
  </sheetViews>
  <sheetFormatPr defaultColWidth="8.88888888888889" defaultRowHeight="14.4"/>
  <cols>
    <col min="2" max="2" width="9.66666666666667" customWidth="1"/>
    <col min="3" max="3" width="26.1111111111111" customWidth="1"/>
    <col min="4" max="4" width="5.88888888888889" customWidth="1"/>
    <col min="5" max="5" width="8.33333333333333" customWidth="1"/>
    <col min="7" max="7" width="9.66666666666667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/>
      <c r="C3" s="3"/>
      <c r="D3" s="3"/>
      <c r="E3" s="3"/>
      <c r="F3" s="3"/>
      <c r="G3" s="4"/>
    </row>
    <row r="4" spans="1:7">
      <c r="A4" s="1" t="s">
        <v>3</v>
      </c>
      <c r="B4" s="1"/>
      <c r="C4" s="1"/>
      <c r="D4" s="1"/>
      <c r="E4" s="1"/>
      <c r="F4" s="1"/>
      <c r="G4" s="4"/>
    </row>
    <row r="5" spans="1:7">
      <c r="A5" s="5" t="s">
        <v>4</v>
      </c>
      <c r="B5" s="5"/>
      <c r="C5" s="5"/>
      <c r="D5" s="5"/>
      <c r="E5" s="5"/>
      <c r="F5" s="5"/>
      <c r="G5" s="4"/>
    </row>
    <row r="6" spans="1:7">
      <c r="A6" s="6" t="s">
        <v>5</v>
      </c>
      <c r="B6" s="6"/>
      <c r="C6" s="5" t="s">
        <v>6</v>
      </c>
      <c r="D6" s="5"/>
      <c r="E6" s="5"/>
      <c r="F6" s="5"/>
      <c r="G6" s="5"/>
    </row>
    <row r="7" spans="1:7">
      <c r="A7" s="6" t="s">
        <v>7</v>
      </c>
      <c r="B7" s="6"/>
      <c r="C7" s="5" t="s">
        <v>8</v>
      </c>
      <c r="D7" s="5"/>
      <c r="E7" s="5"/>
      <c r="F7" s="5"/>
      <c r="G7" s="5"/>
    </row>
    <row r="8" spans="1:7">
      <c r="A8" s="6" t="s">
        <v>9</v>
      </c>
      <c r="B8" s="6"/>
      <c r="C8" s="5" t="s">
        <v>10</v>
      </c>
      <c r="D8" s="5"/>
      <c r="E8" s="5"/>
      <c r="F8" s="5"/>
      <c r="G8" s="5"/>
    </row>
    <row r="9" spans="1:7">
      <c r="A9" s="6" t="s">
        <v>11</v>
      </c>
      <c r="B9" s="6"/>
      <c r="C9" s="4" t="s">
        <v>12</v>
      </c>
      <c r="D9" s="4"/>
      <c r="E9" s="4"/>
      <c r="F9" s="4"/>
      <c r="G9" s="4"/>
    </row>
    <row r="10" spans="1:7">
      <c r="A10" s="6" t="s">
        <v>13</v>
      </c>
      <c r="B10" s="6"/>
      <c r="C10" s="4" t="s">
        <v>14</v>
      </c>
      <c r="D10" s="4"/>
      <c r="E10" s="4"/>
      <c r="F10" s="4"/>
      <c r="G10" s="4"/>
    </row>
    <row r="11" spans="1:7">
      <c r="A11" s="7" t="s">
        <v>15</v>
      </c>
      <c r="B11" s="7"/>
      <c r="C11" s="7"/>
      <c r="D11" s="7"/>
      <c r="E11" s="7"/>
      <c r="F11" s="7"/>
      <c r="G11" s="7"/>
    </row>
    <row r="12" ht="27.6" spans="1:7">
      <c r="A12" s="8" t="s">
        <v>16</v>
      </c>
      <c r="B12" s="9" t="s">
        <v>17</v>
      </c>
      <c r="C12" s="8" t="s">
        <v>18</v>
      </c>
      <c r="D12" s="8" t="s">
        <v>19</v>
      </c>
      <c r="E12" s="8" t="s">
        <v>20</v>
      </c>
      <c r="F12" s="10" t="s">
        <v>21</v>
      </c>
      <c r="G12" s="8" t="s">
        <v>22</v>
      </c>
    </row>
    <row r="13" ht="28.8" spans="1:7">
      <c r="A13" s="11">
        <v>1</v>
      </c>
      <c r="B13" s="11" t="s">
        <v>23</v>
      </c>
      <c r="C13" s="12" t="s">
        <v>24</v>
      </c>
      <c r="D13" s="11">
        <v>7</v>
      </c>
      <c r="E13" s="11">
        <v>22000</v>
      </c>
      <c r="F13" s="11">
        <v>26</v>
      </c>
      <c r="G13" s="11">
        <f>SUM(E13*F13)</f>
        <v>572000</v>
      </c>
    </row>
    <row r="14" spans="1:7">
      <c r="A14" s="11">
        <v>4</v>
      </c>
      <c r="B14" s="11" t="s">
        <v>23</v>
      </c>
      <c r="C14" s="13" t="s">
        <v>25</v>
      </c>
      <c r="D14" s="11">
        <v>7</v>
      </c>
      <c r="E14" s="11">
        <v>22500</v>
      </c>
      <c r="F14" s="11">
        <v>26</v>
      </c>
      <c r="G14" s="11">
        <f t="shared" ref="G14:G25" si="0">SUM(E14*F14)</f>
        <v>585000</v>
      </c>
    </row>
    <row r="15" spans="1:7">
      <c r="A15" s="11">
        <v>5</v>
      </c>
      <c r="B15" s="11" t="s">
        <v>23</v>
      </c>
      <c r="C15" s="13" t="s">
        <v>26</v>
      </c>
      <c r="D15" s="11">
        <v>7</v>
      </c>
      <c r="E15" s="11">
        <v>23300</v>
      </c>
      <c r="F15" s="11">
        <v>26</v>
      </c>
      <c r="G15" s="11">
        <f t="shared" si="0"/>
        <v>605800</v>
      </c>
    </row>
    <row r="16" spans="1:7">
      <c r="A16" s="11">
        <v>6</v>
      </c>
      <c r="B16" s="11" t="s">
        <v>23</v>
      </c>
      <c r="C16" s="13" t="s">
        <v>27</v>
      </c>
      <c r="D16" s="11">
        <v>7</v>
      </c>
      <c r="E16" s="11">
        <v>23300</v>
      </c>
      <c r="F16" s="11">
        <v>26</v>
      </c>
      <c r="G16" s="11">
        <f t="shared" si="0"/>
        <v>605800</v>
      </c>
    </row>
    <row r="17" spans="1:7">
      <c r="A17" s="11">
        <v>7</v>
      </c>
      <c r="B17" s="11" t="s">
        <v>23</v>
      </c>
      <c r="C17" s="13" t="s">
        <v>28</v>
      </c>
      <c r="D17" s="11">
        <v>7</v>
      </c>
      <c r="E17" s="11">
        <v>23300</v>
      </c>
      <c r="F17" s="11">
        <v>26</v>
      </c>
      <c r="G17" s="11">
        <f t="shared" si="0"/>
        <v>605800</v>
      </c>
    </row>
    <row r="18" spans="1:7">
      <c r="A18" s="11">
        <v>8</v>
      </c>
      <c r="B18" s="11" t="s">
        <v>23</v>
      </c>
      <c r="C18" s="13" t="s">
        <v>29</v>
      </c>
      <c r="D18" s="11">
        <v>7</v>
      </c>
      <c r="E18" s="11">
        <v>30100</v>
      </c>
      <c r="F18" s="11">
        <v>27</v>
      </c>
      <c r="G18" s="11">
        <f t="shared" si="0"/>
        <v>812700</v>
      </c>
    </row>
    <row r="19" ht="28.8" spans="1:7">
      <c r="A19" s="11">
        <v>9</v>
      </c>
      <c r="B19" s="11" t="s">
        <v>23</v>
      </c>
      <c r="C19" s="12" t="s">
        <v>30</v>
      </c>
      <c r="D19" s="11">
        <v>7</v>
      </c>
      <c r="E19" s="11">
        <v>22300</v>
      </c>
      <c r="F19" s="11">
        <v>26</v>
      </c>
      <c r="G19" s="11">
        <f t="shared" si="0"/>
        <v>579800</v>
      </c>
    </row>
    <row r="20" spans="1:7">
      <c r="A20" s="14">
        <v>11</v>
      </c>
      <c r="B20" s="11" t="s">
        <v>23</v>
      </c>
      <c r="C20" s="13" t="s">
        <v>31</v>
      </c>
      <c r="D20" s="11">
        <v>7</v>
      </c>
      <c r="E20" s="15">
        <v>73600</v>
      </c>
      <c r="F20" s="11">
        <v>25</v>
      </c>
      <c r="G20" s="11">
        <f>SUM(E20*F20)</f>
        <v>1840000</v>
      </c>
    </row>
    <row r="21" ht="28.8" spans="1:7">
      <c r="A21" s="11">
        <v>12</v>
      </c>
      <c r="B21" s="11" t="s">
        <v>23</v>
      </c>
      <c r="C21" s="12" t="s">
        <v>32</v>
      </c>
      <c r="D21" s="11">
        <v>8</v>
      </c>
      <c r="E21" s="11">
        <v>16000</v>
      </c>
      <c r="F21" s="11">
        <v>25</v>
      </c>
      <c r="G21" s="11">
        <f>SUM(E21*F21)</f>
        <v>400000</v>
      </c>
    </row>
    <row r="22" spans="1:7">
      <c r="A22" s="11">
        <v>13</v>
      </c>
      <c r="B22" s="11" t="s">
        <v>23</v>
      </c>
      <c r="C22" s="13" t="s">
        <v>25</v>
      </c>
      <c r="D22" s="11">
        <v>8</v>
      </c>
      <c r="E22" s="11">
        <v>16500</v>
      </c>
      <c r="F22" s="11">
        <v>25</v>
      </c>
      <c r="G22" s="11">
        <f>SUM(E22*F22)</f>
        <v>412500</v>
      </c>
    </row>
    <row r="23" spans="1:7">
      <c r="A23" s="11">
        <v>14</v>
      </c>
      <c r="B23" s="11" t="s">
        <v>23</v>
      </c>
      <c r="C23" s="13" t="s">
        <v>26</v>
      </c>
      <c r="D23" s="11">
        <v>8</v>
      </c>
      <c r="E23" s="11">
        <v>18700</v>
      </c>
      <c r="F23" s="11">
        <v>26</v>
      </c>
      <c r="G23" s="11">
        <f>SUM(E23*F23)</f>
        <v>486200</v>
      </c>
    </row>
    <row r="24" spans="1:7">
      <c r="A24" s="11">
        <v>15</v>
      </c>
      <c r="B24" s="11" t="s">
        <v>23</v>
      </c>
      <c r="C24" s="13" t="s">
        <v>27</v>
      </c>
      <c r="D24" s="11">
        <v>8</v>
      </c>
      <c r="E24" s="11">
        <v>24200</v>
      </c>
      <c r="F24" s="11">
        <v>25</v>
      </c>
      <c r="G24" s="11">
        <f>SUM(E24*F24)</f>
        <v>605000</v>
      </c>
    </row>
    <row r="25" spans="1:7">
      <c r="A25" s="11">
        <v>16</v>
      </c>
      <c r="B25" s="11" t="s">
        <v>23</v>
      </c>
      <c r="C25" s="13" t="s">
        <v>28</v>
      </c>
      <c r="D25" s="11">
        <v>8</v>
      </c>
      <c r="E25" s="11">
        <v>23500</v>
      </c>
      <c r="F25" s="11">
        <v>26</v>
      </c>
      <c r="G25" s="11">
        <f>SUM(E25*F25)</f>
        <v>611000</v>
      </c>
    </row>
    <row r="26" spans="1:7">
      <c r="A26" s="11">
        <v>17</v>
      </c>
      <c r="B26" s="11" t="s">
        <v>23</v>
      </c>
      <c r="C26" s="13" t="s">
        <v>29</v>
      </c>
      <c r="D26" s="11">
        <v>8</v>
      </c>
      <c r="E26" s="11">
        <v>27400</v>
      </c>
      <c r="F26" s="11">
        <v>26</v>
      </c>
      <c r="G26" s="11">
        <f>SUM(E26*F26)</f>
        <v>712400</v>
      </c>
    </row>
    <row r="27" ht="28.8" spans="1:7">
      <c r="A27" s="11">
        <v>18</v>
      </c>
      <c r="B27" s="11" t="s">
        <v>23</v>
      </c>
      <c r="C27" s="12" t="s">
        <v>30</v>
      </c>
      <c r="D27" s="11">
        <v>8</v>
      </c>
      <c r="E27" s="11">
        <v>24900</v>
      </c>
      <c r="F27" s="11">
        <v>25</v>
      </c>
      <c r="G27" s="11">
        <f>SUM(E27*F27)</f>
        <v>622500</v>
      </c>
    </row>
    <row r="28" ht="28.8" spans="1:7">
      <c r="A28" s="11">
        <v>19</v>
      </c>
      <c r="B28" s="11" t="s">
        <v>23</v>
      </c>
      <c r="C28" s="12" t="s">
        <v>24</v>
      </c>
      <c r="D28" s="11">
        <v>8</v>
      </c>
      <c r="E28" s="11">
        <v>23100</v>
      </c>
      <c r="F28" s="11">
        <v>25</v>
      </c>
      <c r="G28" s="11">
        <f>SUM(E28*F28)</f>
        <v>577500</v>
      </c>
    </row>
    <row r="29" ht="28.8" spans="1:7">
      <c r="A29" s="11">
        <v>21</v>
      </c>
      <c r="B29" s="11" t="s">
        <v>23</v>
      </c>
      <c r="C29" s="12" t="s">
        <v>33</v>
      </c>
      <c r="D29" s="11">
        <v>8</v>
      </c>
      <c r="E29" s="11">
        <v>25173</v>
      </c>
      <c r="F29" s="11">
        <v>1</v>
      </c>
      <c r="G29" s="11">
        <f t="shared" ref="G29:G40" si="1">SUM(E29*F29)</f>
        <v>25173</v>
      </c>
    </row>
    <row r="30" spans="1:10">
      <c r="A30" s="14">
        <v>22</v>
      </c>
      <c r="B30" s="11" t="s">
        <v>23</v>
      </c>
      <c r="C30" s="13" t="s">
        <v>31</v>
      </c>
      <c r="D30" s="11">
        <v>9</v>
      </c>
      <c r="E30" s="15">
        <v>62100</v>
      </c>
      <c r="F30" s="11">
        <v>25</v>
      </c>
      <c r="G30" s="11">
        <f t="shared" si="1"/>
        <v>1552500</v>
      </c>
      <c r="J30" s="18"/>
    </row>
    <row r="31" ht="28.8" spans="1:10">
      <c r="A31" s="11">
        <v>23</v>
      </c>
      <c r="B31" s="11" t="s">
        <v>23</v>
      </c>
      <c r="C31" s="12" t="s">
        <v>32</v>
      </c>
      <c r="D31" s="11">
        <v>9</v>
      </c>
      <c r="E31" s="11">
        <v>16800</v>
      </c>
      <c r="F31" s="11">
        <v>25</v>
      </c>
      <c r="G31" s="11">
        <f t="shared" si="1"/>
        <v>420000</v>
      </c>
      <c r="J31" s="36"/>
    </row>
    <row r="32" spans="1:10">
      <c r="A32" s="11">
        <v>24</v>
      </c>
      <c r="B32" s="11" t="s">
        <v>23</v>
      </c>
      <c r="C32" s="13" t="s">
        <v>25</v>
      </c>
      <c r="D32" s="11">
        <v>9</v>
      </c>
      <c r="E32" s="11">
        <v>16000</v>
      </c>
      <c r="F32" s="11">
        <v>25</v>
      </c>
      <c r="G32" s="11">
        <f t="shared" si="1"/>
        <v>400000</v>
      </c>
      <c r="J32" s="37"/>
    </row>
    <row r="33" spans="1:7">
      <c r="A33" s="11">
        <v>25</v>
      </c>
      <c r="B33" s="11" t="s">
        <v>23</v>
      </c>
      <c r="C33" s="13" t="s">
        <v>26</v>
      </c>
      <c r="D33" s="11">
        <v>9</v>
      </c>
      <c r="E33" s="11">
        <v>16800</v>
      </c>
      <c r="F33" s="11">
        <v>25</v>
      </c>
      <c r="G33" s="11">
        <f t="shared" si="1"/>
        <v>420000</v>
      </c>
    </row>
    <row r="34" spans="1:7">
      <c r="A34" s="11">
        <v>26</v>
      </c>
      <c r="B34" s="11" t="s">
        <v>23</v>
      </c>
      <c r="C34" s="13" t="s">
        <v>27</v>
      </c>
      <c r="D34" s="11">
        <v>9</v>
      </c>
      <c r="E34" s="11">
        <v>22300</v>
      </c>
      <c r="F34" s="11">
        <v>25</v>
      </c>
      <c r="G34" s="11">
        <f t="shared" si="1"/>
        <v>557500</v>
      </c>
    </row>
    <row r="35" spans="1:7">
      <c r="A35" s="11">
        <v>27</v>
      </c>
      <c r="B35" s="11" t="s">
        <v>23</v>
      </c>
      <c r="C35" s="13" t="s">
        <v>28</v>
      </c>
      <c r="D35" s="11">
        <v>9</v>
      </c>
      <c r="E35" s="11">
        <v>23800</v>
      </c>
      <c r="F35" s="11">
        <v>25</v>
      </c>
      <c r="G35" s="11">
        <f t="shared" si="1"/>
        <v>595000</v>
      </c>
    </row>
    <row r="36" spans="1:7">
      <c r="A36" s="11">
        <v>28</v>
      </c>
      <c r="B36" s="11" t="s">
        <v>23</v>
      </c>
      <c r="C36" s="13" t="s">
        <v>29</v>
      </c>
      <c r="D36" s="11">
        <v>9</v>
      </c>
      <c r="E36" s="11">
        <v>23800</v>
      </c>
      <c r="F36" s="11">
        <v>25</v>
      </c>
      <c r="G36" s="11">
        <f t="shared" si="1"/>
        <v>595000</v>
      </c>
    </row>
    <row r="37" ht="28.8" spans="1:7">
      <c r="A37" s="11">
        <v>29</v>
      </c>
      <c r="B37" s="11" t="s">
        <v>23</v>
      </c>
      <c r="C37" s="12" t="s">
        <v>30</v>
      </c>
      <c r="D37" s="11">
        <v>9</v>
      </c>
      <c r="E37" s="11">
        <v>29000</v>
      </c>
      <c r="F37" s="11">
        <v>25</v>
      </c>
      <c r="G37" s="11">
        <f t="shared" si="1"/>
        <v>725000</v>
      </c>
    </row>
    <row r="38" ht="28.8" spans="1:7">
      <c r="A38" s="11">
        <v>30</v>
      </c>
      <c r="B38" s="11" t="s">
        <v>23</v>
      </c>
      <c r="C38" s="12" t="s">
        <v>24</v>
      </c>
      <c r="D38" s="11">
        <v>9</v>
      </c>
      <c r="E38" s="11">
        <v>23400</v>
      </c>
      <c r="F38" s="11">
        <v>25</v>
      </c>
      <c r="G38" s="11">
        <f t="shared" si="1"/>
        <v>585000</v>
      </c>
    </row>
    <row r="39" spans="1:7">
      <c r="A39" s="11"/>
      <c r="B39" s="11"/>
      <c r="C39" s="16" t="s">
        <v>34</v>
      </c>
      <c r="D39" s="11"/>
      <c r="E39" s="11"/>
      <c r="F39" s="11"/>
      <c r="G39" s="17">
        <f>SUM(G13:G38)</f>
        <v>16509173</v>
      </c>
    </row>
    <row r="40" spans="1:7">
      <c r="A40" s="4"/>
      <c r="B40" s="4"/>
      <c r="C40" s="4"/>
      <c r="D40" s="4"/>
      <c r="E40" s="4"/>
      <c r="F40" s="4"/>
      <c r="G40" s="4"/>
    </row>
    <row r="41" ht="16.35" spans="1:7">
      <c r="A41" s="18"/>
      <c r="B41" s="18"/>
      <c r="C41" s="19" t="s">
        <v>35</v>
      </c>
      <c r="D41" s="20" t="s">
        <v>36</v>
      </c>
      <c r="E41" s="21"/>
      <c r="F41" s="21"/>
      <c r="G41" s="22"/>
    </row>
    <row r="42" ht="15.15" spans="1:7">
      <c r="A42" s="4"/>
      <c r="B42" s="4"/>
      <c r="C42" s="23"/>
      <c r="D42" s="24" t="s">
        <v>37</v>
      </c>
      <c r="E42" s="25"/>
      <c r="F42" s="25"/>
      <c r="G42" s="26"/>
    </row>
    <row r="43" ht="15.15" spans="1:7">
      <c r="A43" s="27"/>
      <c r="B43" s="27"/>
      <c r="C43" s="23"/>
      <c r="D43" s="23"/>
      <c r="E43" s="23"/>
      <c r="F43" s="23"/>
      <c r="G43" s="23"/>
    </row>
    <row r="44" ht="15.15" spans="1:7">
      <c r="A44" s="23"/>
      <c r="B44" s="23"/>
      <c r="C44" s="23"/>
      <c r="D44" s="23"/>
      <c r="E44" s="23"/>
      <c r="F44" s="23"/>
      <c r="G44" s="23"/>
    </row>
    <row r="45" ht="15.15" spans="1:7">
      <c r="A45" s="23"/>
      <c r="B45" s="23"/>
      <c r="C45" s="23"/>
      <c r="D45" s="23"/>
      <c r="E45" s="23"/>
      <c r="F45" s="23"/>
      <c r="G45" s="23"/>
    </row>
    <row r="46" ht="15.15" spans="1:7">
      <c r="A46" s="23"/>
      <c r="B46" s="23"/>
      <c r="C46" s="23"/>
      <c r="D46" s="23"/>
      <c r="E46" s="23"/>
      <c r="F46" s="23"/>
      <c r="G46" s="23"/>
    </row>
    <row r="47" ht="16.35" spans="1:7">
      <c r="A47" s="23"/>
      <c r="B47" s="23"/>
      <c r="C47" s="28" t="s">
        <v>38</v>
      </c>
      <c r="D47" s="29" t="s">
        <v>39</v>
      </c>
      <c r="E47" s="30"/>
      <c r="F47" s="30"/>
      <c r="G47" s="31"/>
    </row>
    <row r="48" ht="16.35" spans="1:7">
      <c r="A48" s="4"/>
      <c r="B48" s="4"/>
      <c r="C48" s="32" t="s">
        <v>40</v>
      </c>
      <c r="D48" s="33" t="s">
        <v>41</v>
      </c>
      <c r="E48" s="34"/>
      <c r="F48" s="34"/>
      <c r="G48" s="35"/>
    </row>
  </sheetData>
  <mergeCells count="11">
    <mergeCell ref="A1:G1"/>
    <mergeCell ref="A2:G2"/>
    <mergeCell ref="A3:F3"/>
    <mergeCell ref="A4:F4"/>
    <mergeCell ref="A6:B6"/>
    <mergeCell ref="A7:B7"/>
    <mergeCell ref="A8:B8"/>
    <mergeCell ref="A9:B9"/>
    <mergeCell ref="A10:B10"/>
    <mergeCell ref="A11:G11"/>
    <mergeCell ref="D48:G4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Buku Arkas SPJ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Ahmad Hadi</cp:lastModifiedBy>
  <dcterms:created xsi:type="dcterms:W3CDTF">2025-09-17T23:34:00Z</dcterms:created>
  <dcterms:modified xsi:type="dcterms:W3CDTF">2025-09-17T23:46:50Z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4962ED9D61324A729DB546C59EF62943_11</vt:lpwstr>
  </property>
  <property fmtid="{D5CDD505-2E9C-101B-9397-08002B2CF9AE}" pid="3" name="KSOProductBuildVer">
    <vt:lpwstr>1033-12.2.0.22549</vt:lpwstr>
  </property>
</Properties>
</file>